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and\Proyecto_Geolocalizacion\Automatizaesto_Deploy\"/>
    </mc:Choice>
  </mc:AlternateContent>
  <xr:revisionPtr revIDLastSave="0" documentId="11_A4912DA300712F4E0552466E05E081A49D57F65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cance y tiempos" sheetId="1" r:id="rId1"/>
    <sheet name="Inversión" sheetId="2" r:id="rId2"/>
    <sheet name="Opción suscripción" sheetId="3" r:id="rId3"/>
  </sheets>
  <calcPr calcId="191029"/>
</workbook>
</file>

<file path=xl/calcChain.xml><?xml version="1.0" encoding="utf-8"?>
<calcChain xmlns="http://schemas.openxmlformats.org/spreadsheetml/2006/main">
  <c r="C27" i="3" l="1"/>
  <c r="B27" i="3"/>
  <c r="B24" i="3"/>
  <c r="B23" i="3"/>
  <c r="B14" i="3"/>
  <c r="B13" i="3"/>
  <c r="B17" i="3" s="1"/>
  <c r="B12" i="3"/>
  <c r="B9" i="3"/>
  <c r="B8" i="3"/>
  <c r="B7" i="3"/>
  <c r="B5" i="3"/>
  <c r="D22" i="2"/>
  <c r="C17" i="2"/>
  <c r="B17" i="2"/>
  <c r="D17" i="2" s="1"/>
  <c r="C16" i="2"/>
  <c r="B16" i="2"/>
  <c r="D16" i="2" s="1"/>
  <c r="C15" i="2"/>
  <c r="D15" i="2" s="1"/>
  <c r="B25" i="1"/>
  <c r="B24" i="1"/>
  <c r="B23" i="1"/>
  <c r="B22" i="1"/>
  <c r="B26" i="1" s="1"/>
  <c r="D16" i="1"/>
  <c r="D18" i="1" s="1"/>
  <c r="D18" i="2" l="1"/>
  <c r="C25" i="3"/>
  <c r="B18" i="3"/>
  <c r="B19" i="3" s="1"/>
  <c r="C26" i="3" s="1"/>
  <c r="C24" i="3"/>
  <c r="B25" i="3" l="1"/>
  <c r="D19" i="2"/>
  <c r="D20" i="2" s="1"/>
  <c r="B26" i="3" s="1"/>
</calcChain>
</file>

<file path=xl/sharedStrings.xml><?xml version="1.0" encoding="utf-8"?>
<sst xmlns="http://schemas.openxmlformats.org/spreadsheetml/2006/main" count="99" uniqueCount="71">
  <si>
    <t>AgroQuality — Alcance del Proyecto y Tiempos</t>
  </si>
  <si>
    <t>Qué se entrega y en cuánto tiempo. App móvil para el inspector + plataforma web para la gerencia.</t>
  </si>
  <si>
    <t>Componente</t>
  </si>
  <si>
    <t>Entregable</t>
  </si>
  <si>
    <t>Estado</t>
  </si>
  <si>
    <t>Tiempo (días)</t>
  </si>
  <si>
    <t>App del inspector (móvil)</t>
  </si>
  <si>
    <t>Puesta en marcha de la app móvil y personalización con la marca AgroQuality</t>
  </si>
  <si>
    <t>Desarrollo nuevo</t>
  </si>
  <si>
    <t>Funcionamiento sin conexión: las inspecciones se registran en campo aunque no haya señal y se sincronizan solas al volver el internet</t>
  </si>
  <si>
    <t>Formulario de inspección completo: datos del lote, pallets, defectos, termografía y fotos</t>
  </si>
  <si>
    <t>Listado de inspecciones del inspector y experiencia de uso final</t>
  </si>
  <si>
    <t>Plataforma de gerencia (web)</t>
  </si>
  <si>
    <t>Panel de gerencia: indicadores de calidad, resultados por lote y principales defectos</t>
  </si>
  <si>
    <t>Ya disponible</t>
  </si>
  <si>
    <t>Revisión de los reportes de inspección</t>
  </si>
  <si>
    <t>Puesta a punto para el uso real con los datos del equipo de campo</t>
  </si>
  <si>
    <t>Sistema y seguridad</t>
  </si>
  <si>
    <t>Sistema central y separación de la información por empresa (los datos de Marand solo los ve Marand)</t>
  </si>
  <si>
    <t>Publicación segura en la nube</t>
  </si>
  <si>
    <t>Puesta en marcha</t>
  </si>
  <si>
    <t>Pruebas completas de todo el flujo: captura en campo hasta la llegada al panel de gerencia</t>
  </si>
  <si>
    <t>Capacitación al equipo y acompañamiento en el arranque</t>
  </si>
  <si>
    <t>Tiempo total estimado</t>
  </si>
  <si>
    <t>Equivale a aproximadamente</t>
  </si>
  <si>
    <t>de desarrollo (a 5 días por semana)</t>
  </si>
  <si>
    <t>Resumen por componente</t>
  </si>
  <si>
    <t>Total</t>
  </si>
  <si>
    <t>Buena parte de la plataforma —el panel de gerencia, el sistema central y la seguridad— ya está construida y se incluye sin costo adicional. El tiempo y la inversión se concentran en la app móvil del inspector, hecha a medida para Marand.</t>
  </si>
  <si>
    <t>AgroQuality — Inversión</t>
  </si>
  <si>
    <t>Pago único de desarrollo + suscripción mensual. Montos en soles (PEN).</t>
  </si>
  <si>
    <t>Condiciones (editables)</t>
  </si>
  <si>
    <t>Pago único — desarrollo e implementación</t>
  </si>
  <si>
    <t>Plan piloto — tarifa / mes (meses 1-2)</t>
  </si>
  <si>
    <t>Plan AgroQuality — tarifa / mes (desde mes 3)</t>
  </si>
  <si>
    <t>Meses de piloto</t>
  </si>
  <si>
    <t>Meses facturados — primer año</t>
  </si>
  <si>
    <t>IGV</t>
  </si>
  <si>
    <t>Detalle de inversión — primer año</t>
  </si>
  <si>
    <t>Concepto</t>
  </si>
  <si>
    <t>Cantidad</t>
  </si>
  <si>
    <t>Precio unit. (S/)</t>
  </si>
  <si>
    <t>Subtotal (S/)</t>
  </si>
  <si>
    <t>Desarrollo e implementación (pago único)</t>
  </si>
  <si>
    <t>Plan piloto (meses 1-2)</t>
  </si>
  <si>
    <t>Plan AgroQuality (resto del primer año)</t>
  </si>
  <si>
    <t>Subtotal (sin IGV)</t>
  </si>
  <si>
    <t>IGV (18%)</t>
  </si>
  <si>
    <t>TOTAL primer año (con IGV)</t>
  </si>
  <si>
    <t>Costo de los siguientes años (suscripción anual, sin IGV)</t>
  </si>
  <si>
    <t>El desarrollo se paga una sola vez al inicio. La suscripción incluye alojamiento, operación, mantenimiento, respaldos y las mejoras futuras, sin costo adicional.</t>
  </si>
  <si>
    <t>AgroQuality — Opción suscripción (sin pago inicial)</t>
  </si>
  <si>
    <t>El desarrollo se incluye dentro de la mensualidad: Marand no realiza ningún desembolso al inicio.</t>
  </si>
  <si>
    <t>Desarrollo incluido en la mensualidad (S/)</t>
  </si>
  <si>
    <t>Meses de permanencia</t>
  </si>
  <si>
    <t>Mensualidad base (operación, S/)</t>
  </si>
  <si>
    <t>Cómo se compone la mensualidad</t>
  </si>
  <si>
    <t>Parte mensual del desarrollo</t>
  </si>
  <si>
    <t>Mensualidad total (operación + desarrollo)</t>
  </si>
  <si>
    <t>Mensualidad desde el año 2 (ya recuperado)</t>
  </si>
  <si>
    <t>Resultado — primer año</t>
  </si>
  <si>
    <t>Suscripción año 1 (meses × mensualidad total)</t>
  </si>
  <si>
    <t>Comparación de las dos opciones</t>
  </si>
  <si>
    <t>Con pago inicial</t>
  </si>
  <si>
    <t>Sin pago inicial</t>
  </si>
  <si>
    <t>Pago al inicio</t>
  </si>
  <si>
    <t>Mensualidad (régimen)</t>
  </si>
  <si>
    <t>Total primer año (sin IGV)</t>
  </si>
  <si>
    <t>Total primer año (con IGV)</t>
  </si>
  <si>
    <t>Costo anual desde el año 2</t>
  </si>
  <si>
    <t>Con esta opción Marand no paga nada al inicio: el desarrollo se reparte dentro de la mensualidad durante el período de permanencia. Cumplido ese período, la mensualidad baja a la tarifa de operación.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</si>
</sst>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\ &quot;semanas&quot;"/>
    <numFmt numFmtId="166" formatCode="&quot;S/&quot;\ #,##0;\(&quot;S/&quot;\ #,##0\);&quot;-&quot;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5"/>
      <color rgb="FF15803D"/>
      <name val="Arial"/>
    </font>
    <font>
      <sz val="10"/>
      <color rgb="FF4B5563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E7F5E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66" fontId="6" fillId="4" borderId="1" xfId="0" applyNumberFormat="1" applyFont="1" applyFill="1" applyBorder="1" applyAlignment="1">
      <alignment horizontal="right" vertical="center"/>
    </xf>
    <xf numFmtId="1" fontId="6" fillId="4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166" fontId="0" fillId="0" borderId="1" xfId="0" applyNumberFormat="1" applyBorder="1" applyAlignment="1">
      <alignment horizontal="right" vertical="center"/>
    </xf>
    <xf numFmtId="0" fontId="3" fillId="2" borderId="1" xfId="0" applyFont="1" applyFill="1" applyBorder="1"/>
    <xf numFmtId="166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166" fontId="5" fillId="0" borderId="0" xfId="0" applyNumberFormat="1" applyFont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showGridLines="0" tabSelected="1" workbookViewId="0">
      <selection activeCell="F8" sqref="F8"/>
    </sheetView>
  </sheetViews>
  <sheetFormatPr baseColWidth="10" defaultColWidth="9.140625" defaultRowHeight="15" x14ac:dyDescent="0.25"/>
  <cols>
    <col min="1" max="1" width="26" customWidth="1"/>
    <col min="2" max="2" width="58" customWidth="1"/>
    <col min="3" max="3" width="17" customWidth="1"/>
    <col min="4" max="4" width="14" customWidth="1"/>
  </cols>
  <sheetData>
    <row r="1" spans="1:4" ht="19.5" x14ac:dyDescent="0.3">
      <c r="A1" s="31" t="s">
        <v>0</v>
      </c>
      <c r="B1" s="32"/>
      <c r="C1" s="32"/>
      <c r="D1" s="32"/>
    </row>
    <row r="2" spans="1:4" x14ac:dyDescent="0.25">
      <c r="A2" s="34" t="s">
        <v>1</v>
      </c>
      <c r="B2" s="32"/>
      <c r="C2" s="32"/>
      <c r="D2" s="32"/>
    </row>
    <row r="4" spans="1:4" x14ac:dyDescent="0.25">
      <c r="A4" s="2" t="s">
        <v>2</v>
      </c>
      <c r="B4" s="2" t="s">
        <v>3</v>
      </c>
      <c r="C4" s="3" t="s">
        <v>4</v>
      </c>
      <c r="D4" s="3" t="s">
        <v>5</v>
      </c>
    </row>
    <row r="5" spans="1:4" ht="25.5" x14ac:dyDescent="0.25">
      <c r="A5" s="4" t="s">
        <v>6</v>
      </c>
      <c r="B5" s="4" t="s">
        <v>7</v>
      </c>
      <c r="C5" s="5" t="s">
        <v>8</v>
      </c>
      <c r="D5" s="6">
        <v>0.5</v>
      </c>
    </row>
    <row r="6" spans="1:4" ht="38.25" x14ac:dyDescent="0.25">
      <c r="A6" s="4" t="s">
        <v>6</v>
      </c>
      <c r="B6" s="4" t="s">
        <v>9</v>
      </c>
      <c r="C6" s="5" t="s">
        <v>8</v>
      </c>
      <c r="D6" s="6">
        <v>1</v>
      </c>
    </row>
    <row r="7" spans="1:4" ht="25.5" x14ac:dyDescent="0.25">
      <c r="A7" s="4" t="s">
        <v>6</v>
      </c>
      <c r="B7" s="4" t="s">
        <v>10</v>
      </c>
      <c r="C7" s="5" t="s">
        <v>8</v>
      </c>
      <c r="D7" s="6">
        <v>3</v>
      </c>
    </row>
    <row r="8" spans="1:4" x14ac:dyDescent="0.25">
      <c r="A8" s="4" t="s">
        <v>6</v>
      </c>
      <c r="B8" s="4" t="s">
        <v>11</v>
      </c>
      <c r="C8" s="5" t="s">
        <v>8</v>
      </c>
      <c r="D8" s="6">
        <v>1</v>
      </c>
    </row>
    <row r="9" spans="1:4" ht="25.5" x14ac:dyDescent="0.25">
      <c r="A9" s="4" t="s">
        <v>12</v>
      </c>
      <c r="B9" s="4" t="s">
        <v>13</v>
      </c>
      <c r="C9" s="5" t="s">
        <v>14</v>
      </c>
      <c r="D9" s="6">
        <v>0</v>
      </c>
    </row>
    <row r="10" spans="1:4" x14ac:dyDescent="0.25">
      <c r="A10" s="4" t="s">
        <v>12</v>
      </c>
      <c r="B10" s="4" t="s">
        <v>15</v>
      </c>
      <c r="C10" s="5" t="s">
        <v>14</v>
      </c>
      <c r="D10" s="6">
        <v>0</v>
      </c>
    </row>
    <row r="11" spans="1:4" x14ac:dyDescent="0.25">
      <c r="A11" s="4" t="s">
        <v>12</v>
      </c>
      <c r="B11" s="4" t="s">
        <v>16</v>
      </c>
      <c r="C11" s="5" t="s">
        <v>8</v>
      </c>
      <c r="D11" s="6">
        <v>1</v>
      </c>
    </row>
    <row r="12" spans="1:4" ht="25.5" x14ac:dyDescent="0.25">
      <c r="A12" s="4" t="s">
        <v>17</v>
      </c>
      <c r="B12" s="4" t="s">
        <v>18</v>
      </c>
      <c r="C12" s="5" t="s">
        <v>14</v>
      </c>
      <c r="D12" s="6">
        <v>0</v>
      </c>
    </row>
    <row r="13" spans="1:4" x14ac:dyDescent="0.25">
      <c r="A13" s="4" t="s">
        <v>17</v>
      </c>
      <c r="B13" s="4" t="s">
        <v>19</v>
      </c>
      <c r="C13" s="5" t="s">
        <v>8</v>
      </c>
      <c r="D13" s="6">
        <v>0.5</v>
      </c>
    </row>
    <row r="14" spans="1:4" ht="25.5" x14ac:dyDescent="0.25">
      <c r="A14" s="4" t="s">
        <v>20</v>
      </c>
      <c r="B14" s="4" t="s">
        <v>21</v>
      </c>
      <c r="C14" s="5" t="s">
        <v>8</v>
      </c>
      <c r="D14" s="6">
        <v>1.5</v>
      </c>
    </row>
    <row r="15" spans="1:4" x14ac:dyDescent="0.25">
      <c r="A15" s="4" t="s">
        <v>20</v>
      </c>
      <c r="B15" s="4" t="s">
        <v>22</v>
      </c>
      <c r="C15" s="5" t="s">
        <v>8</v>
      </c>
      <c r="D15" s="6">
        <v>0.5</v>
      </c>
    </row>
    <row r="16" spans="1:4" x14ac:dyDescent="0.25">
      <c r="A16" s="2" t="s">
        <v>23</v>
      </c>
      <c r="B16" s="2"/>
      <c r="C16" s="2"/>
      <c r="D16" s="7">
        <f>SUM(D5:D15)</f>
        <v>9</v>
      </c>
    </row>
    <row r="18" spans="1:4" x14ac:dyDescent="0.25">
      <c r="A18" s="8" t="s">
        <v>24</v>
      </c>
      <c r="B18" s="1" t="s">
        <v>25</v>
      </c>
      <c r="D18" s="9">
        <f>D16/5</f>
        <v>1.8</v>
      </c>
    </row>
    <row r="20" spans="1:4" x14ac:dyDescent="0.25">
      <c r="A20" s="8" t="s">
        <v>26</v>
      </c>
    </row>
    <row r="21" spans="1:4" x14ac:dyDescent="0.25">
      <c r="A21" s="2" t="s">
        <v>2</v>
      </c>
      <c r="B21" s="3" t="s">
        <v>5</v>
      </c>
    </row>
    <row r="22" spans="1:4" x14ac:dyDescent="0.25">
      <c r="A22" s="4" t="s">
        <v>6</v>
      </c>
      <c r="B22" s="10">
        <f>SUMIF($A$5:$A$15,A22,$D$5:$D$15)</f>
        <v>5.5</v>
      </c>
    </row>
    <row r="23" spans="1:4" x14ac:dyDescent="0.25">
      <c r="A23" s="4" t="s">
        <v>12</v>
      </c>
      <c r="B23" s="10">
        <f>SUMIF($A$5:$A$15,A23,$D$5:$D$15)</f>
        <v>1</v>
      </c>
    </row>
    <row r="24" spans="1:4" x14ac:dyDescent="0.25">
      <c r="A24" s="4" t="s">
        <v>17</v>
      </c>
      <c r="B24" s="10">
        <f>SUMIF($A$5:$A$15,A24,$D$5:$D$15)</f>
        <v>0.5</v>
      </c>
    </row>
    <row r="25" spans="1:4" x14ac:dyDescent="0.25">
      <c r="A25" s="4" t="s">
        <v>20</v>
      </c>
      <c r="B25" s="10">
        <f>SUMIF($A$5:$A$15,A25,$D$5:$D$15)</f>
        <v>2</v>
      </c>
    </row>
    <row r="26" spans="1:4" x14ac:dyDescent="0.25">
      <c r="A26" s="11" t="s">
        <v>27</v>
      </c>
      <c r="B26" s="12">
        <f>SUM(B22:B25)</f>
        <v>9</v>
      </c>
    </row>
    <row r="28" spans="1:4" ht="44.1" customHeight="1" x14ac:dyDescent="0.25">
      <c r="A28" s="33" t="s">
        <v>28</v>
      </c>
      <c r="B28" s="32"/>
      <c r="C28" s="32"/>
      <c r="D28" s="32"/>
    </row>
  </sheetData>
  <mergeCells count="3">
    <mergeCell ref="A1:D1"/>
    <mergeCell ref="A28:D2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workbookViewId="0">
      <selection activeCell="A16" sqref="A16"/>
    </sheetView>
  </sheetViews>
  <sheetFormatPr baseColWidth="10" defaultColWidth="9.140625" defaultRowHeight="15" x14ac:dyDescent="0.25"/>
  <cols>
    <col min="1" max="1" width="46" customWidth="1"/>
    <col min="2" max="2" width="14" customWidth="1"/>
    <col min="3" max="4" width="18" customWidth="1"/>
  </cols>
  <sheetData>
    <row r="1" spans="1:4" ht="19.5" x14ac:dyDescent="0.3">
      <c r="A1" s="31" t="s">
        <v>29</v>
      </c>
      <c r="B1" s="32"/>
      <c r="C1" s="32"/>
      <c r="D1" s="32"/>
    </row>
    <row r="2" spans="1:4" x14ac:dyDescent="0.25">
      <c r="A2" s="34" t="s">
        <v>30</v>
      </c>
      <c r="B2" s="32"/>
      <c r="C2" s="32"/>
      <c r="D2" s="32"/>
    </row>
    <row r="4" spans="1:4" x14ac:dyDescent="0.25">
      <c r="A4" s="8" t="s">
        <v>31</v>
      </c>
    </row>
    <row r="5" spans="1:4" x14ac:dyDescent="0.25">
      <c r="A5" s="13" t="s">
        <v>32</v>
      </c>
      <c r="B5" s="14">
        <v>3500</v>
      </c>
    </row>
    <row r="6" spans="1:4" x14ac:dyDescent="0.25">
      <c r="A6" s="13" t="s">
        <v>33</v>
      </c>
      <c r="B6" s="14">
        <v>600</v>
      </c>
    </row>
    <row r="7" spans="1:4" x14ac:dyDescent="0.25">
      <c r="A7" s="13" t="s">
        <v>34</v>
      </c>
      <c r="B7" s="14">
        <v>1200</v>
      </c>
    </row>
    <row r="8" spans="1:4" x14ac:dyDescent="0.25">
      <c r="A8" s="13" t="s">
        <v>35</v>
      </c>
      <c r="B8" s="15">
        <v>2</v>
      </c>
    </row>
    <row r="9" spans="1:4" x14ac:dyDescent="0.25">
      <c r="A9" s="13" t="s">
        <v>36</v>
      </c>
      <c r="B9" s="15">
        <v>12</v>
      </c>
    </row>
    <row r="10" spans="1:4" x14ac:dyDescent="0.25">
      <c r="A10" s="13" t="s">
        <v>37</v>
      </c>
      <c r="B10" s="16">
        <v>0.18</v>
      </c>
    </row>
    <row r="13" spans="1:4" x14ac:dyDescent="0.25">
      <c r="A13" s="8" t="s">
        <v>38</v>
      </c>
    </row>
    <row r="14" spans="1:4" x14ac:dyDescent="0.25">
      <c r="A14" s="2" t="s">
        <v>39</v>
      </c>
      <c r="B14" s="3" t="s">
        <v>40</v>
      </c>
      <c r="C14" s="3" t="s">
        <v>41</v>
      </c>
      <c r="D14" s="3" t="s">
        <v>42</v>
      </c>
    </row>
    <row r="15" spans="1:4" x14ac:dyDescent="0.25">
      <c r="A15" s="4" t="s">
        <v>43</v>
      </c>
      <c r="B15" s="17">
        <v>1</v>
      </c>
      <c r="C15" s="18">
        <f>$B$5</f>
        <v>3500</v>
      </c>
      <c r="D15" s="18">
        <f>B15*C15</f>
        <v>3500</v>
      </c>
    </row>
    <row r="16" spans="1:4" x14ac:dyDescent="0.25">
      <c r="A16" s="4" t="s">
        <v>44</v>
      </c>
      <c r="B16" s="17">
        <f>$B$8</f>
        <v>2</v>
      </c>
      <c r="C16" s="18">
        <f>$B$6</f>
        <v>600</v>
      </c>
      <c r="D16" s="18">
        <f>B16*C16</f>
        <v>1200</v>
      </c>
    </row>
    <row r="17" spans="1:4" x14ac:dyDescent="0.25">
      <c r="A17" s="4" t="s">
        <v>45</v>
      </c>
      <c r="B17" s="17">
        <f>$B$9-$B$8</f>
        <v>10</v>
      </c>
      <c r="C17" s="18">
        <f>$B$7</f>
        <v>1200</v>
      </c>
      <c r="D17" s="18">
        <f>B17*C17</f>
        <v>12000</v>
      </c>
    </row>
    <row r="18" spans="1:4" x14ac:dyDescent="0.25">
      <c r="A18" s="19" t="s">
        <v>46</v>
      </c>
      <c r="B18" s="20"/>
      <c r="C18" s="20"/>
      <c r="D18" s="21">
        <f>SUM(D15:D17)</f>
        <v>16700</v>
      </c>
    </row>
    <row r="19" spans="1:4" x14ac:dyDescent="0.25">
      <c r="A19" s="4" t="s">
        <v>47</v>
      </c>
      <c r="B19" s="20"/>
      <c r="C19" s="20"/>
      <c r="D19" s="21">
        <f>D18*$B$10</f>
        <v>3006</v>
      </c>
    </row>
    <row r="20" spans="1:4" x14ac:dyDescent="0.25">
      <c r="A20" s="2" t="s">
        <v>48</v>
      </c>
      <c r="B20" s="22"/>
      <c r="C20" s="22"/>
      <c r="D20" s="23">
        <f>D18+D19</f>
        <v>19706</v>
      </c>
    </row>
    <row r="22" spans="1:4" ht="25.5" x14ac:dyDescent="0.25">
      <c r="A22" s="24" t="s">
        <v>49</v>
      </c>
      <c r="D22" s="25">
        <f>$B$9*$B$7</f>
        <v>14400</v>
      </c>
    </row>
    <row r="23" spans="1:4" ht="30" customHeight="1" x14ac:dyDescent="0.25">
      <c r="A23" s="33" t="s">
        <v>50</v>
      </c>
      <c r="B23" s="32"/>
      <c r="C23" s="32"/>
      <c r="D23" s="32"/>
    </row>
  </sheetData>
  <mergeCells count="3">
    <mergeCell ref="A1:D1"/>
    <mergeCell ref="A23:D2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showGridLines="0" workbookViewId="0"/>
  </sheetViews>
  <sheetFormatPr baseColWidth="10" defaultColWidth="9.140625" defaultRowHeight="15" x14ac:dyDescent="0.25"/>
  <cols>
    <col min="1" max="1" width="46" customWidth="1"/>
    <col min="2" max="3" width="18" customWidth="1"/>
  </cols>
  <sheetData>
    <row r="1" spans="1:3" ht="19.5" x14ac:dyDescent="0.3">
      <c r="A1" s="31" t="s">
        <v>51</v>
      </c>
      <c r="B1" s="32"/>
      <c r="C1" s="32"/>
    </row>
    <row r="2" spans="1:3" x14ac:dyDescent="0.25">
      <c r="A2" s="34" t="s">
        <v>52</v>
      </c>
      <c r="B2" s="32"/>
      <c r="C2" s="32"/>
    </row>
    <row r="4" spans="1:3" x14ac:dyDescent="0.25">
      <c r="A4" s="8" t="s">
        <v>31</v>
      </c>
    </row>
    <row r="5" spans="1:3" x14ac:dyDescent="0.25">
      <c r="A5" s="13" t="s">
        <v>53</v>
      </c>
      <c r="B5" s="26">
        <f>Inversión!$B$5</f>
        <v>3500</v>
      </c>
    </row>
    <row r="6" spans="1:3" x14ac:dyDescent="0.25">
      <c r="A6" s="13" t="s">
        <v>54</v>
      </c>
      <c r="B6" s="15">
        <v>12</v>
      </c>
    </row>
    <row r="7" spans="1:3" x14ac:dyDescent="0.25">
      <c r="A7" s="13" t="s">
        <v>55</v>
      </c>
      <c r="B7" s="26">
        <f>Inversión!$B$7</f>
        <v>1200</v>
      </c>
    </row>
    <row r="8" spans="1:3" x14ac:dyDescent="0.25">
      <c r="A8" s="13" t="s">
        <v>36</v>
      </c>
      <c r="B8" s="27">
        <f>Inversión!$B$9</f>
        <v>12</v>
      </c>
    </row>
    <row r="9" spans="1:3" x14ac:dyDescent="0.25">
      <c r="A9" s="13" t="s">
        <v>37</v>
      </c>
      <c r="B9" s="28">
        <f>Inversión!$B$10</f>
        <v>0.18</v>
      </c>
    </row>
    <row r="11" spans="1:3" x14ac:dyDescent="0.25">
      <c r="A11" s="8" t="s">
        <v>56</v>
      </c>
    </row>
    <row r="12" spans="1:3" x14ac:dyDescent="0.25">
      <c r="A12" s="13" t="s">
        <v>57</v>
      </c>
      <c r="B12" s="18">
        <f>B5/B6</f>
        <v>291.66666666666669</v>
      </c>
    </row>
    <row r="13" spans="1:3" x14ac:dyDescent="0.25">
      <c r="A13" s="24" t="s">
        <v>58</v>
      </c>
      <c r="B13" s="29">
        <f>B7+B12</f>
        <v>1491.6666666666667</v>
      </c>
    </row>
    <row r="14" spans="1:3" x14ac:dyDescent="0.25">
      <c r="A14" s="13" t="s">
        <v>59</v>
      </c>
      <c r="B14" s="18">
        <f>B7</f>
        <v>1200</v>
      </c>
    </row>
    <row r="16" spans="1:3" x14ac:dyDescent="0.25">
      <c r="A16" s="8" t="s">
        <v>60</v>
      </c>
    </row>
    <row r="17" spans="1:3" x14ac:dyDescent="0.25">
      <c r="A17" s="13" t="s">
        <v>61</v>
      </c>
      <c r="B17" s="18">
        <f>B8*B13</f>
        <v>17900</v>
      </c>
    </row>
    <row r="18" spans="1:3" x14ac:dyDescent="0.25">
      <c r="A18" s="13" t="s">
        <v>47</v>
      </c>
      <c r="B18" s="18">
        <f>B17*B9</f>
        <v>3222</v>
      </c>
    </row>
    <row r="19" spans="1:3" x14ac:dyDescent="0.25">
      <c r="A19" s="30" t="s">
        <v>48</v>
      </c>
      <c r="B19" s="23">
        <f>B17+B18</f>
        <v>21122</v>
      </c>
    </row>
    <row r="21" spans="1:3" x14ac:dyDescent="0.25">
      <c r="A21" s="8" t="s">
        <v>62</v>
      </c>
    </row>
    <row r="22" spans="1:3" x14ac:dyDescent="0.25">
      <c r="A22" s="2" t="s">
        <v>39</v>
      </c>
      <c r="B22" s="3" t="s">
        <v>63</v>
      </c>
      <c r="C22" s="3" t="s">
        <v>64</v>
      </c>
    </row>
    <row r="23" spans="1:3" x14ac:dyDescent="0.25">
      <c r="A23" s="4" t="s">
        <v>65</v>
      </c>
      <c r="B23" s="26">
        <f>Inversión!$B$5</f>
        <v>3500</v>
      </c>
      <c r="C23" s="18">
        <v>0</v>
      </c>
    </row>
    <row r="24" spans="1:3" x14ac:dyDescent="0.25">
      <c r="A24" s="4" t="s">
        <v>66</v>
      </c>
      <c r="B24" s="26">
        <f>Inversión!$B$7</f>
        <v>1200</v>
      </c>
      <c r="C24" s="18">
        <f>B13</f>
        <v>1491.6666666666667</v>
      </c>
    </row>
    <row r="25" spans="1:3" x14ac:dyDescent="0.25">
      <c r="A25" s="4" t="s">
        <v>67</v>
      </c>
      <c r="B25" s="26">
        <f>Inversión!$D$18</f>
        <v>16700</v>
      </c>
      <c r="C25" s="18">
        <f>B17</f>
        <v>17900</v>
      </c>
    </row>
    <row r="26" spans="1:3" x14ac:dyDescent="0.25">
      <c r="A26" s="4" t="s">
        <v>68</v>
      </c>
      <c r="B26" s="26">
        <f>Inversión!$D$20</f>
        <v>19706</v>
      </c>
      <c r="C26" s="18">
        <f>B19</f>
        <v>21122</v>
      </c>
    </row>
    <row r="27" spans="1:3" x14ac:dyDescent="0.25">
      <c r="A27" s="4" t="s">
        <v>69</v>
      </c>
      <c r="B27" s="26">
        <f>Inversión!$D$22</f>
        <v>14400</v>
      </c>
      <c r="C27" s="18">
        <f>B8*B14</f>
        <v>14400</v>
      </c>
    </row>
    <row r="29" spans="1:3" ht="44.1" customHeight="1" x14ac:dyDescent="0.25">
      <c r="A29" s="33" t="s">
        <v>70</v>
      </c>
      <c r="B29" s="32"/>
      <c r="C29" s="32"/>
    </row>
  </sheetData>
  <mergeCells count="3">
    <mergeCell ref="A1:C1"/>
    <mergeCell ref="A2:C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Alcance y tiempos</vt:lpstr>
      <vt:lpstr>Inversión</vt:lpstr>
      <vt:lpstr>Opción suscripción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2026-06-26T01:09:56Z</dcterms:created>
  <dcterms:modified xsi:type="dcterms:W3CDTF">2026-06-26T02:41:12Z</dcterms:modified>
</cp:coreProperties>
</file>